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vc-fahelsrpa5\Desktop\RPA Projects\24. Month End Close\Approvals\"/>
    </mc:Choice>
  </mc:AlternateContent>
  <xr:revisionPtr revIDLastSave="0" documentId="13_ncr:1_{74C76A67-D344-40D6-8141-7409886CEC41}" xr6:coauthVersionLast="46" xr6:coauthVersionMax="47" xr10:uidLastSave="{00000000-0000-0000-0000-000000000000}"/>
  <bookViews>
    <workbookView xWindow="-120" yWindow="-120" windowWidth="29040" windowHeight="15990" xr2:uid="{914D17C0-B81C-4B54-BD40-BDE5D782AB1D}"/>
  </bookViews>
  <sheets>
    <sheet name="User Stories" sheetId="1" r:id="rId1"/>
    <sheet name="To-be process map" sheetId="3" r:id="rId2"/>
    <sheet name="Reference" sheetId="2" r:id="rId3"/>
  </sheets>
  <definedNames>
    <definedName name="_xlnm._FilterDatabase" localSheetId="2" hidden="1">Reference!$A$2:$A$6</definedName>
    <definedName name="frequency">Reference!$B$2:$B$9</definedName>
    <definedName name="points">Reference!$A$2:$A$6</definedName>
    <definedName name="svc_acct">Reference!$A$2:$A$11</definedName>
    <definedName name="tower">Reference!$A$10:$D$10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8" i="1" l="1"/>
  <c r="J17" i="1"/>
  <c r="J16" i="1"/>
  <c r="J12" i="1"/>
  <c r="J14" i="1"/>
  <c r="J15" i="1"/>
  <c r="J13" i="1" l="1"/>
  <c r="C31" i="1"/>
  <c r="C32" i="1" s="1"/>
  <c r="C30" i="1"/>
  <c r="C12" i="1"/>
  <c r="C13" i="1" s="1"/>
  <c r="C14" i="1" s="1"/>
  <c r="C15" i="1" s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J30" i="1" l="1"/>
  <c r="J31" i="1"/>
  <c r="C37" i="1" s="1"/>
  <c r="J32" i="1"/>
  <c r="C38" i="1" s="1"/>
  <c r="C36" i="1" l="1"/>
  <c r="E36" i="1" s="1"/>
  <c r="E37" i="1" s="1"/>
  <c r="E38" i="1" s="1"/>
  <c r="I33" i="1"/>
  <c r="J33" i="1" l="1"/>
</calcChain>
</file>

<file path=xl/sharedStrings.xml><?xml version="1.0" encoding="utf-8"?>
<sst xmlns="http://schemas.openxmlformats.org/spreadsheetml/2006/main" count="112" uniqueCount="91">
  <si>
    <t>USER STORIES</t>
  </si>
  <si>
    <t>Project Name :</t>
  </si>
  <si>
    <t>Tower :</t>
  </si>
  <si>
    <t>Order to Cash</t>
  </si>
  <si>
    <t>Team:</t>
  </si>
  <si>
    <t>Credit &amp; Collections</t>
  </si>
  <si>
    <t>Subject Matter Expert :</t>
  </si>
  <si>
    <t>Operations Manager :</t>
  </si>
  <si>
    <t>User Stories</t>
  </si>
  <si>
    <t>Story Points</t>
  </si>
  <si>
    <t>Number of Hours</t>
  </si>
  <si>
    <t>Status</t>
  </si>
  <si>
    <t>Actual Date Completed</t>
  </si>
  <si>
    <t>Result</t>
  </si>
  <si>
    <t>Remarks</t>
  </si>
  <si>
    <t>Regression and Functional Testing</t>
  </si>
  <si>
    <t>UAT</t>
  </si>
  <si>
    <t>Production Testing</t>
  </si>
  <si>
    <t>Fixed</t>
  </si>
  <si>
    <t>Total</t>
  </si>
  <si>
    <t>Project Start Date :</t>
  </si>
  <si>
    <t>Exceptions:</t>
  </si>
  <si>
    <t>Development :</t>
  </si>
  <si>
    <t>UAT :</t>
  </si>
  <si>
    <t>Deployment :</t>
  </si>
  <si>
    <t>Process Step ID</t>
  </si>
  <si>
    <t>Process Step Description</t>
  </si>
  <si>
    <t>Next Step ID</t>
  </si>
  <si>
    <t>Connector Label</t>
  </si>
  <si>
    <t>Shape Type</t>
  </si>
  <si>
    <t>Function</t>
  </si>
  <si>
    <t>Phase</t>
  </si>
  <si>
    <t>Alt Text</t>
  </si>
  <si>
    <t>P100</t>
  </si>
  <si>
    <t>Start</t>
  </si>
  <si>
    <t>P200</t>
  </si>
  <si>
    <t>Function 1</t>
  </si>
  <si>
    <t>Phase 1</t>
  </si>
  <si>
    <t>Decision?</t>
  </si>
  <si>
    <t>P300,P400</t>
  </si>
  <si>
    <t>Yes,No</t>
  </si>
  <si>
    <t>Decision</t>
  </si>
  <si>
    <t>Function 2</t>
  </si>
  <si>
    <t>P300</t>
  </si>
  <si>
    <t>Process</t>
  </si>
  <si>
    <t>Phase 2</t>
  </si>
  <si>
    <t>P400</t>
  </si>
  <si>
    <t>Stop</t>
  </si>
  <si>
    <t>End</t>
  </si>
  <si>
    <t>Function 3</t>
  </si>
  <si>
    <t>Procure to Pay</t>
  </si>
  <si>
    <t>Records to Report</t>
  </si>
  <si>
    <t>Other</t>
  </si>
  <si>
    <t>Cash Applications</t>
  </si>
  <si>
    <t>Helpdesk</t>
  </si>
  <si>
    <t>Books</t>
  </si>
  <si>
    <t>Compliance</t>
  </si>
  <si>
    <t>Invoice Processing</t>
  </si>
  <si>
    <t>Book Royalty</t>
  </si>
  <si>
    <t>Tax</t>
  </si>
  <si>
    <t>Debt Recovery</t>
  </si>
  <si>
    <t>Payments</t>
  </si>
  <si>
    <t>Cash</t>
  </si>
  <si>
    <t>Global Procurement</t>
  </si>
  <si>
    <t>Global Recon</t>
  </si>
  <si>
    <t>Vendor Master</t>
  </si>
  <si>
    <t>Entity Accounting</t>
  </si>
  <si>
    <t>GRPA</t>
  </si>
  <si>
    <t>iExpense</t>
  </si>
  <si>
    <t>Fixed Assets</t>
  </si>
  <si>
    <t>Invoicing</t>
  </si>
  <si>
    <t>Audit &amp; Controls</t>
  </si>
  <si>
    <t>General Accounting</t>
  </si>
  <si>
    <t>Group Finance</t>
  </si>
  <si>
    <t>Intercompany</t>
  </si>
  <si>
    <t>Journals</t>
  </si>
  <si>
    <t>Revenue Accounting</t>
  </si>
  <si>
    <t>PTO (VL)</t>
  </si>
  <si>
    <t>Holiday</t>
  </si>
  <si>
    <t>Complete</t>
  </si>
  <si>
    <t>Pass</t>
  </si>
  <si>
    <t>EDFEES Unpaid Invoices</t>
  </si>
  <si>
    <t>Mirriam Hassan</t>
  </si>
  <si>
    <t>Mary Charmaine Beltran</t>
  </si>
  <si>
    <t>Run Scheduler and Validation report</t>
  </si>
  <si>
    <t>Run Validated Required and Unaccounted Report</t>
  </si>
  <si>
    <t>Send for IP Lead checking</t>
  </si>
  <si>
    <t>Run the rest of the report</t>
  </si>
  <si>
    <t>Run Unpaid Invoices report</t>
  </si>
  <si>
    <t>Run trial balance detail report</t>
  </si>
  <si>
    <t>Send confirmation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</si>
</sst>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d\-mmm\-yy;@"/>
  </numFmts>
  <fonts count="6" x14ac:knownFonts="1">
    <font>
      <sz val="10"/>
      <color theme="1"/>
      <name val="Calibri"/>
      <family val="2"/>
    </font>
    <font>
      <b/>
      <sz val="10"/>
      <color theme="0"/>
      <name val="Calibri"/>
      <family val="2"/>
    </font>
    <font>
      <b/>
      <sz val="10"/>
      <color theme="1"/>
      <name val="Calibri"/>
      <family val="2"/>
    </font>
    <font>
      <sz val="10"/>
      <color theme="0"/>
      <name val="Calibri"/>
      <family val="2"/>
    </font>
    <font>
      <i/>
      <sz val="10"/>
      <color theme="1"/>
      <name val="Calibri"/>
      <family val="2"/>
    </font>
    <font>
      <b/>
      <sz val="14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3">
    <xf numFmtId="0" fontId="0" fillId="0" borderId="0" xfId="0"/>
    <xf numFmtId="0" fontId="0" fillId="0" borderId="0" xfId="0" applyAlignment="1">
      <alignment vertical="center"/>
    </xf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4" xfId="0" applyFill="1" applyBorder="1" applyAlignment="1">
      <alignment vertical="center"/>
    </xf>
    <xf numFmtId="0" fontId="0" fillId="2" borderId="5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0" fillId="2" borderId="9" xfId="0" applyFill="1" applyBorder="1" applyAlignment="1">
      <alignment horizontal="center" vertical="center"/>
    </xf>
    <xf numFmtId="0" fontId="2" fillId="2" borderId="9" xfId="0" applyFont="1" applyFill="1" applyBorder="1" applyAlignment="1">
      <alignment horizontal="left" vertical="center" indent="1"/>
    </xf>
    <xf numFmtId="0" fontId="2" fillId="2" borderId="0" xfId="0" applyFont="1" applyFill="1" applyBorder="1" applyAlignment="1">
      <alignment horizontal="left" vertical="center" indent="1"/>
    </xf>
    <xf numFmtId="0" fontId="0" fillId="2" borderId="1" xfId="0" applyFill="1" applyBorder="1" applyAlignment="1">
      <alignment vertical="center"/>
    </xf>
    <xf numFmtId="0" fontId="0" fillId="2" borderId="2" xfId="0" applyFill="1" applyBorder="1" applyAlignment="1">
      <alignment vertical="center"/>
    </xf>
    <xf numFmtId="0" fontId="0" fillId="2" borderId="3" xfId="0" applyFill="1" applyBorder="1" applyAlignment="1">
      <alignment vertical="center"/>
    </xf>
    <xf numFmtId="0" fontId="2" fillId="2" borderId="11" xfId="0" applyFont="1" applyFill="1" applyBorder="1" applyAlignment="1">
      <alignment horizontal="left" vertical="center" indent="1"/>
    </xf>
    <xf numFmtId="0" fontId="2" fillId="2" borderId="9" xfId="0" applyFont="1" applyFill="1" applyBorder="1" applyAlignment="1">
      <alignment horizontal="center" vertical="center"/>
    </xf>
    <xf numFmtId="164" fontId="0" fillId="2" borderId="9" xfId="0" applyNumberFormat="1" applyFill="1" applyBorder="1" applyAlignment="1">
      <alignment horizontal="center" vertical="center"/>
    </xf>
    <xf numFmtId="0" fontId="0" fillId="2" borderId="6" xfId="0" applyFill="1" applyBorder="1" applyAlignment="1">
      <alignment vertical="center"/>
    </xf>
    <xf numFmtId="0" fontId="0" fillId="2" borderId="7" xfId="0" applyFill="1" applyBorder="1" applyAlignment="1">
      <alignment vertical="center"/>
    </xf>
    <xf numFmtId="0" fontId="0" fillId="2" borderId="8" xfId="0" applyFill="1" applyBorder="1" applyAlignment="1">
      <alignment vertical="center"/>
    </xf>
    <xf numFmtId="0" fontId="0" fillId="0" borderId="9" xfId="0" applyBorder="1" applyAlignment="1">
      <alignment horizontal="center"/>
    </xf>
    <xf numFmtId="164" fontId="0" fillId="2" borderId="9" xfId="0" applyNumberFormat="1" applyFill="1" applyBorder="1" applyAlignment="1">
      <alignment horizontal="left" vertical="center" indent="1"/>
    </xf>
    <xf numFmtId="164" fontId="0" fillId="2" borderId="0" xfId="0" applyNumberFormat="1" applyFill="1" applyBorder="1" applyAlignment="1">
      <alignment vertical="center"/>
    </xf>
    <xf numFmtId="1" fontId="1" fillId="2" borderId="0" xfId="0" applyNumberFormat="1" applyFont="1" applyFill="1" applyBorder="1" applyAlignment="1">
      <alignment horizontal="left" vertical="center" indent="1"/>
    </xf>
    <xf numFmtId="49" fontId="0" fillId="0" borderId="0" xfId="0" applyNumberFormat="1"/>
    <xf numFmtId="0" fontId="4" fillId="4" borderId="0" xfId="0" applyFont="1" applyFill="1" applyBorder="1" applyAlignment="1">
      <alignment horizontal="left" vertical="center" indent="1"/>
    </xf>
    <xf numFmtId="0" fontId="2" fillId="3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right" vertical="center" indent="1"/>
    </xf>
    <xf numFmtId="0" fontId="0" fillId="2" borderId="0" xfId="0" applyFont="1" applyFill="1" applyBorder="1" applyAlignment="1">
      <alignment horizontal="left" vertical="center" indent="1"/>
    </xf>
    <xf numFmtId="164" fontId="0" fillId="5" borderId="9" xfId="0" applyNumberFormat="1" applyFill="1" applyBorder="1" applyAlignment="1">
      <alignment horizontal="center" vertical="center"/>
    </xf>
    <xf numFmtId="1" fontId="3" fillId="2" borderId="0" xfId="0" applyNumberFormat="1" applyFont="1" applyFill="1" applyBorder="1" applyAlignment="1">
      <alignment horizontal="left" vertical="center" indent="1"/>
    </xf>
    <xf numFmtId="0" fontId="0" fillId="2" borderId="10" xfId="0" applyFill="1" applyBorder="1" applyAlignment="1">
      <alignment horizontal="left" vertical="center" indent="1"/>
    </xf>
    <xf numFmtId="0" fontId="0" fillId="2" borderId="9" xfId="0" applyFill="1" applyBorder="1" applyAlignment="1">
      <alignment horizontal="left" vertical="center" indent="1"/>
    </xf>
    <xf numFmtId="0" fontId="2" fillId="4" borderId="9" xfId="0" applyFont="1" applyFill="1" applyBorder="1" applyAlignment="1">
      <alignment horizontal="center" vertical="center"/>
    </xf>
    <xf numFmtId="0" fontId="0" fillId="2" borderId="11" xfId="0" applyFill="1" applyBorder="1" applyAlignment="1">
      <alignment horizontal="left" vertical="center" indent="1"/>
    </xf>
    <xf numFmtId="0" fontId="0" fillId="2" borderId="10" xfId="0" applyFill="1" applyBorder="1" applyAlignment="1">
      <alignment horizontal="left" vertical="center" indent="1"/>
    </xf>
    <xf numFmtId="0" fontId="0" fillId="2" borderId="12" xfId="0" applyFill="1" applyBorder="1" applyAlignment="1">
      <alignment horizontal="left" vertical="center" indent="1"/>
    </xf>
    <xf numFmtId="0" fontId="0" fillId="2" borderId="9" xfId="0" applyFill="1" applyBorder="1" applyAlignment="1">
      <alignment horizontal="left" vertical="center" indent="1"/>
    </xf>
    <xf numFmtId="0" fontId="0" fillId="2" borderId="11" xfId="0" applyFill="1" applyBorder="1" applyAlignment="1">
      <alignment horizontal="left" vertical="center" indent="1"/>
    </xf>
    <xf numFmtId="0" fontId="0" fillId="2" borderId="10" xfId="0" applyFill="1" applyBorder="1" applyAlignment="1">
      <alignment horizontal="left" vertical="center" indent="1"/>
    </xf>
    <xf numFmtId="0" fontId="0" fillId="2" borderId="12" xfId="0" applyFill="1" applyBorder="1" applyAlignment="1">
      <alignment horizontal="left" vertical="center" indent="1"/>
    </xf>
    <xf numFmtId="0" fontId="0" fillId="2" borderId="10" xfId="0" applyFill="1" applyBorder="1" applyAlignment="1">
      <alignment horizontal="left" vertical="center" indent="1"/>
    </xf>
    <xf numFmtId="0" fontId="0" fillId="2" borderId="12" xfId="0" applyFill="1" applyBorder="1" applyAlignment="1">
      <alignment horizontal="left" vertical="center" indent="1"/>
    </xf>
    <xf numFmtId="0" fontId="0" fillId="2" borderId="11" xfId="0" applyFill="1" applyBorder="1" applyAlignment="1">
      <alignment horizontal="left" vertical="center" indent="1"/>
    </xf>
    <xf numFmtId="0" fontId="2" fillId="2" borderId="0" xfId="0" applyFont="1" applyFill="1" applyAlignment="1">
      <alignment horizontal="left" vertical="center" indent="1"/>
    </xf>
    <xf numFmtId="0" fontId="0" fillId="2" borderId="0" xfId="0" applyFill="1" applyAlignment="1">
      <alignment horizontal="left" vertical="center" indent="1"/>
    </xf>
    <xf numFmtId="0" fontId="0" fillId="2" borderId="11" xfId="0" applyFill="1" applyBorder="1" applyAlignment="1">
      <alignment horizontal="left" vertical="center" indent="1"/>
    </xf>
    <xf numFmtId="0" fontId="0" fillId="2" borderId="12" xfId="0" applyFill="1" applyBorder="1" applyAlignment="1">
      <alignment horizontal="left" vertical="center" indent="1"/>
    </xf>
    <xf numFmtId="0" fontId="0" fillId="2" borderId="10" xfId="0" applyFill="1" applyBorder="1" applyAlignment="1">
      <alignment horizontal="left" vertical="center" indent="1"/>
    </xf>
    <xf numFmtId="0" fontId="0" fillId="2" borderId="11" xfId="0" applyFill="1" applyBorder="1" applyAlignment="1">
      <alignment horizontal="left" vertical="center" indent="1"/>
    </xf>
    <xf numFmtId="0" fontId="0" fillId="2" borderId="12" xfId="0" applyFill="1" applyBorder="1" applyAlignment="1">
      <alignment horizontal="left" vertical="center" indent="1"/>
    </xf>
    <xf numFmtId="0" fontId="0" fillId="2" borderId="10" xfId="0" applyFill="1" applyBorder="1" applyAlignment="1">
      <alignment horizontal="left" vertical="center" indent="1"/>
    </xf>
    <xf numFmtId="0" fontId="0" fillId="2" borderId="11" xfId="0" applyFill="1" applyBorder="1" applyAlignment="1">
      <alignment horizontal="left" vertical="center" indent="1"/>
    </xf>
    <xf numFmtId="0" fontId="0" fillId="4" borderId="11" xfId="0" applyFill="1" applyBorder="1" applyAlignment="1">
      <alignment horizontal="left" vertical="center" indent="1"/>
    </xf>
    <xf numFmtId="0" fontId="0" fillId="4" borderId="12" xfId="0" applyFill="1" applyBorder="1" applyAlignment="1">
      <alignment horizontal="left" vertical="center" indent="1"/>
    </xf>
    <xf numFmtId="0" fontId="0" fillId="4" borderId="10" xfId="0" applyFill="1" applyBorder="1" applyAlignment="1">
      <alignment horizontal="left" vertical="center" indent="1"/>
    </xf>
    <xf numFmtId="0" fontId="0" fillId="2" borderId="11" xfId="0" applyFill="1" applyBorder="1" applyAlignment="1">
      <alignment horizontal="left" vertical="center" indent="1"/>
    </xf>
    <xf numFmtId="0" fontId="0" fillId="2" borderId="10" xfId="0" applyFill="1" applyBorder="1" applyAlignment="1">
      <alignment horizontal="left" vertical="center" indent="1"/>
    </xf>
    <xf numFmtId="0" fontId="0" fillId="2" borderId="12" xfId="0" applyFill="1" applyBorder="1" applyAlignment="1">
      <alignment horizontal="left" vertical="center" indent="1"/>
    </xf>
    <xf numFmtId="0" fontId="5" fillId="2" borderId="11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5" fillId="2" borderId="10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</cellXfs>
  <cellStyles count="1">
    <cellStyle name="Normal" xfId="0" builtinId="0"/>
  </cellStyles>
  <dxfs count="15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11</xdr:col>
      <xdr:colOff>284136</xdr:colOff>
      <xdr:row>34</xdr:row>
      <xdr:rowOff>66675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1D03153-AE5D-4A8F-BCA1-DC6A08BA8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525"/>
          <a:ext cx="8037486" cy="55626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B8A993A-E831-4DBF-B418-ACDC618D4A50}" name="Table1" displayName="Table1" ref="A1:H5" totalsRowShown="0" headerRowDxfId="9" dataDxfId="8">
  <autoFilter ref="A1:H5" xr:uid="{FFBA4259-39E2-48A7-B144-955789A5A4F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EFDDA0BD-AD36-493B-841D-E162ED5CEF64}" name="Process Step ID" dataDxfId="7"/>
    <tableColumn id="2" xr3:uid="{ED055424-6440-4D22-ACD2-A08055BE53F0}" name="Process Step Description" dataDxfId="6"/>
    <tableColumn id="3" xr3:uid="{16BC95CB-BCEE-4B40-9B2B-246D92BFD0FE}" name="Next Step ID" dataDxfId="5"/>
    <tableColumn id="4" xr3:uid="{8F877ECF-E0AF-462A-AD8E-B52E9189BA79}" name="Connector Label" dataDxfId="4"/>
    <tableColumn id="5" xr3:uid="{0AC43C3B-AF36-4742-AE85-05115B426638}" name="Shape Type" dataDxfId="3"/>
    <tableColumn id="6" xr3:uid="{A0436597-BFE6-4E77-B9C3-19CF4D5F47B3}" name="Function" dataDxfId="2"/>
    <tableColumn id="7" xr3:uid="{DE497996-BC0D-4BA6-A902-20228F435B81}" name="Phase" dataDxfId="1"/>
    <tableColumn id="8" xr3:uid="{8977E171-45A5-432B-8720-A3814AB50553}" name="Alt Tex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CA8C5-97A5-44D2-8F67-7FA8C4CE280F}">
  <sheetPr codeName="Sheet1"/>
  <dimension ref="A1:U49"/>
  <sheetViews>
    <sheetView tabSelected="1" zoomScaleNormal="100" workbookViewId="0">
      <selection activeCell="H19" sqref="H19"/>
    </sheetView>
  </sheetViews>
  <sheetFormatPr defaultColWidth="0" defaultRowHeight="15" customHeight="1" zeroHeight="1" x14ac:dyDescent="0.2"/>
  <cols>
    <col min="1" max="2" width="1" style="1" customWidth="1"/>
    <col min="3" max="3" width="4.7109375" style="1" customWidth="1"/>
    <col min="4" max="4" width="18" style="1" customWidth="1"/>
    <col min="5" max="5" width="19.85546875" style="1" customWidth="1"/>
    <col min="6" max="6" width="16.140625" style="1" customWidth="1"/>
    <col min="7" max="7" width="10.7109375" style="1" customWidth="1"/>
    <col min="8" max="8" width="22.85546875" style="1" customWidth="1"/>
    <col min="9" max="9" width="12.28515625" style="1" customWidth="1"/>
    <col min="10" max="10" width="14.85546875" style="1" customWidth="1"/>
    <col min="11" max="11" width="10.7109375" style="1" customWidth="1"/>
    <col min="12" max="12" width="19.42578125" style="1" customWidth="1"/>
    <col min="13" max="13" width="9.42578125" style="1" customWidth="1"/>
    <col min="14" max="14" width="20.140625" style="1" customWidth="1"/>
    <col min="15" max="15" width="1" style="1" customWidth="1"/>
    <col min="16" max="16" width="1" customWidth="1"/>
    <col min="17" max="17" width="9.140625" customWidth="1"/>
    <col min="18" max="21" width="0" hidden="1" customWidth="1"/>
    <col min="22" max="16384" width="9.140625" hidden="1"/>
  </cols>
  <sheetData>
    <row r="1" spans="1:17" ht="4.5" customHeight="1" thickBo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2"/>
    </row>
    <row r="2" spans="1:17" ht="4.5" customHeight="1" x14ac:dyDescent="0.2">
      <c r="A2" s="3"/>
      <c r="B2" s="11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3"/>
      <c r="P2" s="2"/>
      <c r="Q2" s="2"/>
    </row>
    <row r="3" spans="1:17" s="1" customFormat="1" ht="18.75" customHeight="1" x14ac:dyDescent="0.2">
      <c r="A3" s="3"/>
      <c r="B3" s="4"/>
      <c r="C3" s="59" t="s">
        <v>0</v>
      </c>
      <c r="D3" s="60"/>
      <c r="E3" s="60"/>
      <c r="F3" s="60"/>
      <c r="G3" s="60"/>
      <c r="H3" s="60"/>
      <c r="I3" s="60"/>
      <c r="J3" s="60"/>
      <c r="K3" s="60"/>
      <c r="L3" s="60"/>
      <c r="M3" s="60"/>
      <c r="N3" s="61"/>
      <c r="O3" s="5"/>
      <c r="P3" s="3"/>
      <c r="Q3" s="3"/>
    </row>
    <row r="4" spans="1:17" s="1" customFormat="1" ht="5.25" customHeight="1" x14ac:dyDescent="0.2">
      <c r="A4" s="3"/>
      <c r="B4" s="4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5"/>
      <c r="P4" s="3"/>
      <c r="Q4" s="3"/>
    </row>
    <row r="5" spans="1:17" s="1" customFormat="1" ht="18.75" customHeight="1" x14ac:dyDescent="0.2">
      <c r="A5" s="3"/>
      <c r="B5" s="4"/>
      <c r="C5" s="9" t="s">
        <v>1</v>
      </c>
      <c r="D5" s="14"/>
      <c r="E5" s="56" t="s">
        <v>81</v>
      </c>
      <c r="F5" s="58"/>
      <c r="G5" s="58"/>
      <c r="H5" s="58"/>
      <c r="I5" s="58"/>
      <c r="J5" s="58"/>
      <c r="K5" s="57"/>
      <c r="L5" s="28"/>
      <c r="M5" s="28"/>
      <c r="N5" s="28"/>
      <c r="O5" s="5"/>
      <c r="P5" s="3"/>
      <c r="Q5" s="3"/>
    </row>
    <row r="6" spans="1:17" s="1" customFormat="1" ht="3.75" customHeight="1" x14ac:dyDescent="0.2">
      <c r="A6" s="3"/>
      <c r="B6" s="4"/>
      <c r="C6" s="10"/>
      <c r="D6" s="10"/>
      <c r="E6" s="44"/>
      <c r="F6" s="45"/>
      <c r="G6" s="45"/>
      <c r="H6" s="45"/>
      <c r="I6" s="45"/>
      <c r="J6" s="45"/>
      <c r="K6" s="45"/>
      <c r="L6" s="7"/>
      <c r="M6" s="7"/>
      <c r="N6" s="7"/>
      <c r="O6" s="5"/>
      <c r="P6" s="3"/>
      <c r="Q6" s="3"/>
    </row>
    <row r="7" spans="1:17" s="1" customFormat="1" ht="18.75" customHeight="1" x14ac:dyDescent="0.2">
      <c r="A7" s="3"/>
      <c r="B7" s="4"/>
      <c r="C7" s="9" t="s">
        <v>2</v>
      </c>
      <c r="D7" s="9"/>
      <c r="E7" s="37" t="s">
        <v>50</v>
      </c>
      <c r="F7" s="3"/>
      <c r="H7" s="9" t="s">
        <v>4</v>
      </c>
      <c r="I7" s="56" t="s">
        <v>61</v>
      </c>
      <c r="J7" s="57"/>
      <c r="K7" s="3"/>
      <c r="L7" s="6"/>
      <c r="M7" s="6"/>
      <c r="N7" s="6"/>
      <c r="O7" s="5"/>
      <c r="P7" s="3"/>
      <c r="Q7" s="3"/>
    </row>
    <row r="8" spans="1:17" s="1" customFormat="1" ht="3.75" customHeight="1" x14ac:dyDescent="0.2">
      <c r="A8" s="3"/>
      <c r="B8" s="4"/>
      <c r="C8" s="7"/>
      <c r="D8" s="7"/>
      <c r="E8" s="45"/>
      <c r="F8" s="3"/>
      <c r="G8" s="3"/>
      <c r="H8" s="3"/>
      <c r="I8" s="3"/>
      <c r="J8" s="3"/>
      <c r="K8" s="3"/>
      <c r="L8" s="6"/>
      <c r="M8" s="6"/>
      <c r="N8" s="6"/>
      <c r="O8" s="5"/>
      <c r="P8" s="3"/>
      <c r="Q8" s="3"/>
    </row>
    <row r="9" spans="1:17" s="1" customFormat="1" ht="18.75" customHeight="1" x14ac:dyDescent="0.2">
      <c r="A9" s="3"/>
      <c r="B9" s="4"/>
      <c r="C9" s="14" t="s">
        <v>6</v>
      </c>
      <c r="D9" s="31"/>
      <c r="E9" s="56" t="s">
        <v>82</v>
      </c>
      <c r="F9" s="57"/>
      <c r="G9" s="3"/>
      <c r="H9" s="9" t="s">
        <v>7</v>
      </c>
      <c r="I9" s="56" t="s">
        <v>83</v>
      </c>
      <c r="J9" s="58"/>
      <c r="K9" s="57"/>
      <c r="L9" s="7"/>
      <c r="M9" s="7"/>
      <c r="N9" s="7"/>
      <c r="O9" s="5"/>
      <c r="P9" s="3"/>
      <c r="Q9" s="3"/>
    </row>
    <row r="10" spans="1:17" s="1" customFormat="1" ht="6.75" customHeight="1" x14ac:dyDescent="0.2">
      <c r="A10" s="3"/>
      <c r="B10" s="4"/>
      <c r="C10" s="7"/>
      <c r="D10" s="7"/>
      <c r="E10" s="7"/>
      <c r="F10" s="6"/>
      <c r="G10" s="6"/>
      <c r="H10" s="6"/>
      <c r="I10" s="6"/>
      <c r="J10" s="6"/>
      <c r="K10" s="6"/>
      <c r="L10" s="6"/>
      <c r="M10" s="6"/>
      <c r="N10" s="6"/>
      <c r="O10" s="5"/>
      <c r="P10" s="3"/>
      <c r="Q10" s="3"/>
    </row>
    <row r="11" spans="1:17" s="1" customFormat="1" ht="18.75" customHeight="1" x14ac:dyDescent="0.2">
      <c r="A11" s="3"/>
      <c r="B11" s="4"/>
      <c r="C11" s="62" t="s">
        <v>8</v>
      </c>
      <c r="D11" s="62"/>
      <c r="E11" s="62"/>
      <c r="F11" s="62"/>
      <c r="G11" s="62"/>
      <c r="H11" s="62"/>
      <c r="I11" s="33" t="s">
        <v>9</v>
      </c>
      <c r="J11" s="33" t="s">
        <v>10</v>
      </c>
      <c r="K11" s="33" t="s">
        <v>11</v>
      </c>
      <c r="L11" s="33" t="s">
        <v>12</v>
      </c>
      <c r="M11" s="33" t="s">
        <v>13</v>
      </c>
      <c r="N11" s="33" t="s">
        <v>14</v>
      </c>
      <c r="O11" s="5"/>
      <c r="P11" s="3"/>
      <c r="Q11" s="3"/>
    </row>
    <row r="12" spans="1:17" s="1" customFormat="1" ht="18.75" customHeight="1" x14ac:dyDescent="0.2">
      <c r="A12" s="3"/>
      <c r="B12" s="4"/>
      <c r="C12" s="8">
        <f>C10+1</f>
        <v>1</v>
      </c>
      <c r="D12" s="43" t="s">
        <v>84</v>
      </c>
      <c r="E12" s="40"/>
      <c r="F12" s="40"/>
      <c r="G12" s="40"/>
      <c r="H12" s="39"/>
      <c r="I12" s="8">
        <v>13</v>
      </c>
      <c r="J12" s="8">
        <f>IFERROR(VLOOKUP(I12,Reference!$A$2:$B$6,2,0),0)</f>
        <v>24</v>
      </c>
      <c r="K12" s="32" t="s">
        <v>79</v>
      </c>
      <c r="L12" s="16"/>
      <c r="M12" s="16" t="s">
        <v>80</v>
      </c>
      <c r="N12" s="21"/>
      <c r="O12" s="5"/>
      <c r="P12" s="3"/>
      <c r="Q12" s="3"/>
    </row>
    <row r="13" spans="1:17" s="1" customFormat="1" ht="18.75" customHeight="1" x14ac:dyDescent="0.2">
      <c r="A13" s="3"/>
      <c r="B13" s="4"/>
      <c r="C13" s="8">
        <f t="shared" ref="C13:C32" si="0">C12+1</f>
        <v>2</v>
      </c>
      <c r="D13" s="43" t="s">
        <v>85</v>
      </c>
      <c r="E13" s="40"/>
      <c r="F13" s="40"/>
      <c r="G13" s="40"/>
      <c r="H13" s="39"/>
      <c r="I13" s="8">
        <v>13</v>
      </c>
      <c r="J13" s="8">
        <f>IFERROR(VLOOKUP(I13,Reference!$A$2:$B$6,2,0),0)</f>
        <v>24</v>
      </c>
      <c r="K13" s="37" t="s">
        <v>79</v>
      </c>
      <c r="L13" s="16"/>
      <c r="M13" s="16" t="s">
        <v>80</v>
      </c>
      <c r="N13" s="21"/>
      <c r="O13" s="5"/>
      <c r="P13" s="3"/>
      <c r="Q13" s="3"/>
    </row>
    <row r="14" spans="1:17" s="1" customFormat="1" ht="21" customHeight="1" x14ac:dyDescent="0.2">
      <c r="A14" s="3"/>
      <c r="B14" s="4"/>
      <c r="C14" s="8">
        <f t="shared" si="0"/>
        <v>3</v>
      </c>
      <c r="D14" s="43" t="s">
        <v>86</v>
      </c>
      <c r="E14" s="42"/>
      <c r="F14" s="42"/>
      <c r="G14" s="42"/>
      <c r="H14" s="41"/>
      <c r="I14" s="8">
        <v>1</v>
      </c>
      <c r="J14" s="8">
        <f>IFERROR(VLOOKUP(I14,Reference!$A$2:$B$6,2,0),0)</f>
        <v>3</v>
      </c>
      <c r="K14" s="37" t="s">
        <v>79</v>
      </c>
      <c r="L14" s="16"/>
      <c r="M14" s="16" t="s">
        <v>80</v>
      </c>
      <c r="N14" s="21"/>
      <c r="O14" s="5"/>
      <c r="P14" s="3"/>
      <c r="Q14" s="3"/>
    </row>
    <row r="15" spans="1:17" s="1" customFormat="1" ht="18.75" customHeight="1" x14ac:dyDescent="0.2">
      <c r="A15" s="3"/>
      <c r="B15" s="4"/>
      <c r="C15" s="8">
        <f t="shared" si="0"/>
        <v>4</v>
      </c>
      <c r="D15" s="43" t="s">
        <v>87</v>
      </c>
      <c r="E15" s="42"/>
      <c r="F15"/>
      <c r="G15" s="42"/>
      <c r="H15" s="41"/>
      <c r="I15" s="8">
        <v>13</v>
      </c>
      <c r="J15" s="8">
        <f>IFERROR(VLOOKUP(I15,Reference!$A$2:$B$6,2,0),0)</f>
        <v>24</v>
      </c>
      <c r="K15" s="37" t="s">
        <v>79</v>
      </c>
      <c r="L15" s="16"/>
      <c r="M15" s="16" t="s">
        <v>80</v>
      </c>
      <c r="N15" s="21"/>
      <c r="O15" s="5"/>
      <c r="P15" s="3"/>
      <c r="Q15" s="3"/>
    </row>
    <row r="16" spans="1:17" s="1" customFormat="1" ht="18.75" customHeight="1" x14ac:dyDescent="0.2">
      <c r="A16" s="3"/>
      <c r="B16" s="4"/>
      <c r="C16" s="8">
        <f t="shared" si="0"/>
        <v>5</v>
      </c>
      <c r="D16" s="46" t="s">
        <v>88</v>
      </c>
      <c r="E16" s="47"/>
      <c r="F16" s="47"/>
      <c r="G16" s="47"/>
      <c r="H16" s="48"/>
      <c r="I16" s="8">
        <v>8</v>
      </c>
      <c r="J16" s="8">
        <f>IFERROR(VLOOKUP(I16,Reference!$A$2:$B$6,2,0),0)</f>
        <v>15</v>
      </c>
      <c r="K16" s="37" t="s">
        <v>79</v>
      </c>
      <c r="L16" s="16"/>
      <c r="M16" s="16"/>
      <c r="N16" s="21"/>
      <c r="O16" s="5"/>
      <c r="P16" s="3"/>
      <c r="Q16" s="3"/>
    </row>
    <row r="17" spans="1:17" s="1" customFormat="1" ht="18.75" customHeight="1" x14ac:dyDescent="0.2">
      <c r="A17" s="3"/>
      <c r="B17" s="4"/>
      <c r="C17" s="8">
        <f t="shared" si="0"/>
        <v>6</v>
      </c>
      <c r="D17" s="46" t="s">
        <v>89</v>
      </c>
      <c r="E17" s="47"/>
      <c r="F17" s="47"/>
      <c r="G17" s="47"/>
      <c r="H17" s="48"/>
      <c r="I17" s="8">
        <v>13</v>
      </c>
      <c r="J17" s="8">
        <f>IFERROR(VLOOKUP(I17,Reference!$A$2:$B$6,2,0),0)</f>
        <v>24</v>
      </c>
      <c r="K17" s="37" t="s">
        <v>79</v>
      </c>
      <c r="L17" s="16"/>
      <c r="M17" s="16"/>
      <c r="N17" s="21"/>
      <c r="O17" s="5"/>
      <c r="P17" s="3"/>
      <c r="Q17" s="3"/>
    </row>
    <row r="18" spans="1:17" s="1" customFormat="1" ht="18.75" customHeight="1" x14ac:dyDescent="0.2">
      <c r="A18" s="3"/>
      <c r="B18" s="4"/>
      <c r="C18" s="8">
        <f t="shared" si="0"/>
        <v>7</v>
      </c>
      <c r="D18" s="52" t="s">
        <v>90</v>
      </c>
      <c r="E18" s="47"/>
      <c r="F18" s="47"/>
      <c r="G18" s="47"/>
      <c r="H18" s="48"/>
      <c r="I18" s="8">
        <v>1</v>
      </c>
      <c r="J18" s="8">
        <f>IFERROR(VLOOKUP(I18,Reference!$A$2:$B$6,2,0),0)</f>
        <v>3</v>
      </c>
      <c r="K18" s="37"/>
      <c r="L18" s="16"/>
      <c r="M18" s="16"/>
      <c r="N18" s="21"/>
      <c r="O18" s="5"/>
      <c r="P18" s="3"/>
      <c r="Q18" s="3"/>
    </row>
    <row r="19" spans="1:17" s="1" customFormat="1" ht="18.75" customHeight="1" x14ac:dyDescent="0.2">
      <c r="A19" s="3"/>
      <c r="B19" s="4"/>
      <c r="C19" s="8">
        <f t="shared" si="0"/>
        <v>8</v>
      </c>
      <c r="D19" s="46"/>
      <c r="E19" s="47"/>
      <c r="F19" s="47"/>
      <c r="G19" s="47"/>
      <c r="H19" s="48"/>
      <c r="I19" s="8"/>
      <c r="J19" s="8"/>
      <c r="K19" s="37"/>
      <c r="L19" s="16"/>
      <c r="M19" s="16"/>
      <c r="N19" s="21"/>
      <c r="O19" s="5"/>
      <c r="P19" s="3"/>
      <c r="Q19" s="3"/>
    </row>
    <row r="20" spans="1:17" s="1" customFormat="1" ht="18.75" customHeight="1" x14ac:dyDescent="0.2">
      <c r="A20" s="3"/>
      <c r="B20" s="4"/>
      <c r="C20" s="8">
        <f t="shared" si="0"/>
        <v>9</v>
      </c>
      <c r="D20" s="46"/>
      <c r="E20" s="47"/>
      <c r="F20" s="47"/>
      <c r="G20" s="47"/>
      <c r="H20" s="48"/>
      <c r="I20" s="8"/>
      <c r="J20" s="8"/>
      <c r="K20" s="37"/>
      <c r="L20" s="16"/>
      <c r="M20" s="16"/>
      <c r="N20" s="21"/>
      <c r="O20" s="5"/>
      <c r="P20" s="3"/>
      <c r="Q20" s="3"/>
    </row>
    <row r="21" spans="1:17" s="1" customFormat="1" ht="18.75" customHeight="1" x14ac:dyDescent="0.2">
      <c r="A21" s="3"/>
      <c r="B21" s="4"/>
      <c r="C21" s="8">
        <f t="shared" si="0"/>
        <v>10</v>
      </c>
      <c r="D21" s="46"/>
      <c r="E21" s="47"/>
      <c r="F21" s="47"/>
      <c r="G21" s="47"/>
      <c r="H21" s="48"/>
      <c r="I21" s="8"/>
      <c r="J21" s="8"/>
      <c r="K21" s="37"/>
      <c r="L21" s="16"/>
      <c r="M21" s="16"/>
      <c r="N21" s="21"/>
      <c r="O21" s="5"/>
      <c r="P21" s="3"/>
      <c r="Q21" s="3"/>
    </row>
    <row r="22" spans="1:17" s="1" customFormat="1" ht="18.75" customHeight="1" x14ac:dyDescent="0.2">
      <c r="A22" s="3"/>
      <c r="B22" s="4"/>
      <c r="C22" s="8">
        <f t="shared" si="0"/>
        <v>11</v>
      </c>
      <c r="D22" s="46"/>
      <c r="E22" s="47"/>
      <c r="F22" s="47"/>
      <c r="G22" s="47"/>
      <c r="H22" s="48"/>
      <c r="I22" s="8"/>
      <c r="J22" s="8"/>
      <c r="K22" s="32"/>
      <c r="L22" s="16"/>
      <c r="M22" s="16"/>
      <c r="N22" s="21"/>
      <c r="O22" s="5"/>
      <c r="P22" s="3"/>
      <c r="Q22" s="3"/>
    </row>
    <row r="23" spans="1:17" s="1" customFormat="1" ht="18.75" customHeight="1" x14ac:dyDescent="0.2">
      <c r="A23" s="3"/>
      <c r="B23" s="4"/>
      <c r="C23" s="8">
        <f t="shared" si="0"/>
        <v>12</v>
      </c>
      <c r="D23" s="49"/>
      <c r="E23" s="47"/>
      <c r="F23" s="47"/>
      <c r="G23" s="47"/>
      <c r="H23" s="48"/>
      <c r="I23" s="8"/>
      <c r="J23" s="8"/>
      <c r="K23" s="32"/>
      <c r="L23" s="16"/>
      <c r="M23" s="16"/>
      <c r="N23" s="21"/>
      <c r="O23" s="5"/>
      <c r="P23" s="3"/>
      <c r="Q23" s="3"/>
    </row>
    <row r="24" spans="1:17" s="1" customFormat="1" ht="18.75" customHeight="1" x14ac:dyDescent="0.2">
      <c r="A24" s="3"/>
      <c r="B24" s="4"/>
      <c r="C24" s="8">
        <f t="shared" si="0"/>
        <v>13</v>
      </c>
      <c r="D24" s="46"/>
      <c r="E24" s="47"/>
      <c r="F24" s="47"/>
      <c r="G24" s="47"/>
      <c r="H24" s="48"/>
      <c r="I24" s="8"/>
      <c r="J24" s="8"/>
      <c r="K24" s="32"/>
      <c r="L24" s="16"/>
      <c r="M24" s="16"/>
      <c r="N24" s="21"/>
      <c r="O24" s="5"/>
      <c r="P24" s="3"/>
      <c r="Q24" s="3"/>
    </row>
    <row r="25" spans="1:17" s="1" customFormat="1" ht="18.75" customHeight="1" x14ac:dyDescent="0.2">
      <c r="A25" s="3"/>
      <c r="B25" s="4"/>
      <c r="C25" s="8">
        <f t="shared" si="0"/>
        <v>14</v>
      </c>
      <c r="D25" s="49"/>
      <c r="E25" s="50"/>
      <c r="F25" s="50"/>
      <c r="G25" s="50"/>
      <c r="H25" s="51"/>
      <c r="I25" s="8"/>
      <c r="J25" s="8"/>
      <c r="K25" s="37"/>
      <c r="L25" s="16"/>
      <c r="M25" s="16"/>
      <c r="N25" s="21"/>
      <c r="O25" s="5"/>
      <c r="P25" s="3"/>
      <c r="Q25" s="3"/>
    </row>
    <row r="26" spans="1:17" s="1" customFormat="1" ht="18.75" customHeight="1" x14ac:dyDescent="0.2">
      <c r="A26" s="3"/>
      <c r="B26" s="4"/>
      <c r="C26" s="8">
        <f t="shared" si="0"/>
        <v>15</v>
      </c>
      <c r="D26" s="49"/>
      <c r="E26" s="50"/>
      <c r="F26" s="50"/>
      <c r="G26" s="50"/>
      <c r="H26" s="51"/>
      <c r="I26" s="8"/>
      <c r="J26" s="8"/>
      <c r="K26" s="37"/>
      <c r="L26" s="16"/>
      <c r="M26" s="16"/>
      <c r="N26" s="21"/>
      <c r="O26" s="5"/>
      <c r="P26" s="3"/>
      <c r="Q26" s="3"/>
    </row>
    <row r="27" spans="1:17" s="1" customFormat="1" ht="18.75" customHeight="1" x14ac:dyDescent="0.2">
      <c r="A27" s="3"/>
      <c r="B27" s="4"/>
      <c r="C27" s="8">
        <f t="shared" si="0"/>
        <v>16</v>
      </c>
      <c r="D27" s="49"/>
      <c r="E27" s="50"/>
      <c r="F27" s="50"/>
      <c r="G27" s="50"/>
      <c r="H27" s="51"/>
      <c r="I27" s="8"/>
      <c r="J27" s="8"/>
      <c r="K27" s="37"/>
      <c r="L27" s="16"/>
      <c r="M27" s="16"/>
      <c r="N27" s="21"/>
      <c r="O27" s="5"/>
      <c r="P27" s="3"/>
      <c r="Q27" s="3"/>
    </row>
    <row r="28" spans="1:17" s="1" customFormat="1" ht="18.75" customHeight="1" x14ac:dyDescent="0.2">
      <c r="A28" s="3"/>
      <c r="B28" s="4"/>
      <c r="C28" s="8">
        <f t="shared" si="0"/>
        <v>17</v>
      </c>
      <c r="D28" s="34"/>
      <c r="E28" s="36"/>
      <c r="F28" s="36"/>
      <c r="G28" s="36"/>
      <c r="H28" s="35"/>
      <c r="I28" s="8"/>
      <c r="J28" s="8"/>
      <c r="K28" s="32"/>
      <c r="L28" s="16"/>
      <c r="M28" s="16"/>
      <c r="N28" s="21"/>
      <c r="O28" s="5"/>
      <c r="P28" s="3"/>
      <c r="Q28" s="3"/>
    </row>
    <row r="29" spans="1:17" s="1" customFormat="1" ht="18.75" customHeight="1" x14ac:dyDescent="0.2">
      <c r="A29" s="3"/>
      <c r="B29" s="4"/>
      <c r="C29" s="8">
        <f t="shared" si="0"/>
        <v>18</v>
      </c>
      <c r="D29" s="38"/>
      <c r="E29" s="40"/>
      <c r="F29" s="40"/>
      <c r="G29" s="40"/>
      <c r="H29" s="39"/>
      <c r="I29" s="8"/>
      <c r="J29" s="8"/>
      <c r="K29" s="32"/>
      <c r="L29" s="16"/>
      <c r="M29" s="16"/>
      <c r="N29" s="21"/>
      <c r="O29" s="5"/>
      <c r="P29" s="3"/>
      <c r="Q29" s="3"/>
    </row>
    <row r="30" spans="1:17" s="1" customFormat="1" ht="18.75" customHeight="1" x14ac:dyDescent="0.2">
      <c r="A30" s="3"/>
      <c r="B30" s="4"/>
      <c r="C30" s="8">
        <f t="shared" si="0"/>
        <v>19</v>
      </c>
      <c r="D30" s="53" t="s">
        <v>15</v>
      </c>
      <c r="E30" s="54"/>
      <c r="F30" s="54"/>
      <c r="G30" s="54"/>
      <c r="H30" s="55"/>
      <c r="I30" s="8">
        <v>13</v>
      </c>
      <c r="J30" s="8">
        <f>IFERROR(VLOOKUP(I30,Reference!$A$2:$B$6,2,0),0)</f>
        <v>24</v>
      </c>
      <c r="K30" s="32"/>
      <c r="L30" s="16"/>
      <c r="M30" s="16"/>
      <c r="N30" s="21"/>
      <c r="O30" s="5"/>
      <c r="P30" s="3"/>
      <c r="Q30" s="3"/>
    </row>
    <row r="31" spans="1:17" s="1" customFormat="1" ht="18.75" customHeight="1" x14ac:dyDescent="0.2">
      <c r="A31" s="3"/>
      <c r="B31" s="4"/>
      <c r="C31" s="8">
        <f t="shared" si="0"/>
        <v>20</v>
      </c>
      <c r="D31" s="53" t="s">
        <v>16</v>
      </c>
      <c r="E31" s="54"/>
      <c r="F31" s="54"/>
      <c r="G31" s="54"/>
      <c r="H31" s="55"/>
      <c r="I31" s="8">
        <v>13</v>
      </c>
      <c r="J31" s="8">
        <f>IFERROR(VLOOKUP(I31,Reference!$A$2:$B$6,2,0),0)</f>
        <v>24</v>
      </c>
      <c r="K31" s="32"/>
      <c r="L31" s="16"/>
      <c r="M31" s="16"/>
      <c r="N31" s="21"/>
      <c r="O31" s="5"/>
      <c r="P31" s="3"/>
      <c r="Q31" s="3"/>
    </row>
    <row r="32" spans="1:17" s="1" customFormat="1" ht="18.75" customHeight="1" x14ac:dyDescent="0.2">
      <c r="A32" s="3"/>
      <c r="B32" s="4"/>
      <c r="C32" s="8">
        <f t="shared" si="0"/>
        <v>21</v>
      </c>
      <c r="D32" s="53" t="s">
        <v>17</v>
      </c>
      <c r="E32" s="54"/>
      <c r="F32" s="54"/>
      <c r="G32" s="54"/>
      <c r="H32" s="55"/>
      <c r="I32" s="8">
        <v>13</v>
      </c>
      <c r="J32" s="8">
        <f>IFERROR(VLOOKUP(I32,Reference!$A$2:$B$6,2,0),0)</f>
        <v>24</v>
      </c>
      <c r="K32" s="32"/>
      <c r="L32" s="16"/>
      <c r="M32" s="16"/>
      <c r="N32" s="21"/>
      <c r="O32" s="5"/>
      <c r="P32" s="3"/>
      <c r="Q32" s="3"/>
    </row>
    <row r="33" spans="1:17" s="1" customFormat="1" ht="18.75" customHeight="1" x14ac:dyDescent="0.2">
      <c r="A33" s="3"/>
      <c r="B33" s="4"/>
      <c r="C33" s="7"/>
      <c r="D33" s="25" t="s">
        <v>18</v>
      </c>
      <c r="E33" s="7"/>
      <c r="F33" s="6"/>
      <c r="G33" s="6"/>
      <c r="H33" s="27" t="s">
        <v>19</v>
      </c>
      <c r="I33" s="26">
        <f>SUM(I12:I32)</f>
        <v>101</v>
      </c>
      <c r="J33" s="26">
        <f>SUM(J12:J32)</f>
        <v>189</v>
      </c>
      <c r="K33" s="6"/>
      <c r="L33" s="6"/>
      <c r="M33" s="6"/>
      <c r="N33" s="6"/>
      <c r="O33" s="5"/>
      <c r="P33" s="3"/>
      <c r="Q33" s="3"/>
    </row>
    <row r="34" spans="1:17" s="1" customFormat="1" ht="18.75" customHeight="1" x14ac:dyDescent="0.2">
      <c r="A34" s="3"/>
      <c r="B34" s="4"/>
      <c r="C34" s="7"/>
      <c r="D34" s="7"/>
      <c r="E34" s="7"/>
      <c r="F34" s="6"/>
      <c r="G34" s="6"/>
      <c r="H34" s="6"/>
      <c r="I34" s="6"/>
      <c r="J34" s="6"/>
      <c r="K34" s="6"/>
      <c r="L34" s="6"/>
      <c r="M34" s="6"/>
      <c r="N34" s="6"/>
      <c r="O34" s="5"/>
      <c r="P34" s="3"/>
      <c r="Q34" s="3"/>
    </row>
    <row r="35" spans="1:17" s="1" customFormat="1" ht="18.75" customHeight="1" x14ac:dyDescent="0.2">
      <c r="A35" s="3"/>
      <c r="B35" s="4"/>
      <c r="C35" s="7"/>
      <c r="D35" s="7" t="s">
        <v>20</v>
      </c>
      <c r="E35" s="29">
        <v>44864</v>
      </c>
      <c r="F35" s="6"/>
      <c r="G35" s="6"/>
      <c r="H35" s="6" t="s">
        <v>21</v>
      </c>
      <c r="I35" s="16">
        <v>44538</v>
      </c>
      <c r="J35" s="56" t="s">
        <v>78</v>
      </c>
      <c r="K35" s="57"/>
      <c r="L35" s="7"/>
      <c r="M35" s="7"/>
      <c r="N35" s="7"/>
      <c r="O35" s="5"/>
      <c r="P35" s="3"/>
      <c r="Q35" s="3"/>
    </row>
    <row r="36" spans="1:17" s="1" customFormat="1" ht="18.75" customHeight="1" x14ac:dyDescent="0.2">
      <c r="A36" s="3"/>
      <c r="B36" s="4"/>
      <c r="C36" s="23">
        <f>SUM($J$12:$J$32)/8</f>
        <v>23.625</v>
      </c>
      <c r="D36" s="7" t="s">
        <v>22</v>
      </c>
      <c r="E36" s="29">
        <f>WORKDAY(E35,C36,$I$35:$I$41)</f>
        <v>44895</v>
      </c>
      <c r="F36" s="22"/>
      <c r="G36" s="6"/>
      <c r="H36" s="6"/>
      <c r="I36" s="16">
        <v>44555</v>
      </c>
      <c r="J36" s="56" t="s">
        <v>78</v>
      </c>
      <c r="K36" s="57"/>
      <c r="L36" s="7"/>
      <c r="M36" s="7"/>
      <c r="N36" s="7"/>
      <c r="O36" s="5"/>
      <c r="P36" s="3"/>
      <c r="Q36" s="3"/>
    </row>
    <row r="37" spans="1:17" s="1" customFormat="1" ht="18.75" customHeight="1" x14ac:dyDescent="0.2">
      <c r="A37" s="3"/>
      <c r="B37" s="4"/>
      <c r="C37" s="30">
        <f>J31/8</f>
        <v>3</v>
      </c>
      <c r="D37" s="7" t="s">
        <v>23</v>
      </c>
      <c r="E37" s="29">
        <f>WORKDAY(E36,$C$37,$I$35:$I$41)</f>
        <v>44900</v>
      </c>
      <c r="F37" s="6"/>
      <c r="G37" s="6"/>
      <c r="H37" s="6"/>
      <c r="I37" s="16">
        <v>44559</v>
      </c>
      <c r="J37" s="56" t="s">
        <v>77</v>
      </c>
      <c r="K37" s="57"/>
      <c r="L37" s="7"/>
      <c r="M37" s="7"/>
      <c r="N37" s="7"/>
      <c r="O37" s="5"/>
      <c r="P37" s="3"/>
      <c r="Q37" s="3"/>
    </row>
    <row r="38" spans="1:17" s="1" customFormat="1" ht="18.75" customHeight="1" x14ac:dyDescent="0.2">
      <c r="A38" s="3"/>
      <c r="B38" s="4"/>
      <c r="C38" s="30">
        <f>J32/8</f>
        <v>3</v>
      </c>
      <c r="D38" s="7" t="s">
        <v>24</v>
      </c>
      <c r="E38" s="29">
        <f>WORKDAY(E37,$C$38,$I$35:$I$41)</f>
        <v>44903</v>
      </c>
      <c r="F38" s="6"/>
      <c r="G38" s="6"/>
      <c r="H38" s="6"/>
      <c r="I38" s="16">
        <v>44560</v>
      </c>
      <c r="J38" s="56" t="s">
        <v>78</v>
      </c>
      <c r="K38" s="57"/>
      <c r="L38" s="7"/>
      <c r="M38" s="7"/>
      <c r="N38" s="7"/>
      <c r="O38" s="5"/>
      <c r="P38" s="3"/>
      <c r="Q38" s="3"/>
    </row>
    <row r="39" spans="1:17" s="1" customFormat="1" ht="18.75" customHeight="1" x14ac:dyDescent="0.2">
      <c r="A39" s="3"/>
      <c r="B39" s="4"/>
      <c r="C39" s="7"/>
      <c r="D39" s="7"/>
      <c r="E39" s="7"/>
      <c r="F39" s="6"/>
      <c r="G39" s="6"/>
      <c r="H39" s="6"/>
      <c r="I39" s="16">
        <v>44561</v>
      </c>
      <c r="J39" s="56" t="s">
        <v>77</v>
      </c>
      <c r="K39" s="57"/>
      <c r="L39" s="7"/>
      <c r="M39" s="7"/>
      <c r="N39" s="7"/>
      <c r="O39" s="5"/>
      <c r="P39" s="3"/>
      <c r="Q39" s="3"/>
    </row>
    <row r="40" spans="1:17" s="1" customFormat="1" ht="18.75" customHeight="1" x14ac:dyDescent="0.2">
      <c r="A40" s="3"/>
      <c r="B40" s="4"/>
      <c r="C40" s="7"/>
      <c r="D40" s="7"/>
      <c r="E40" s="7"/>
      <c r="F40" s="6"/>
      <c r="G40" s="6"/>
      <c r="H40" s="6"/>
      <c r="I40" s="16"/>
      <c r="J40" s="56"/>
      <c r="K40" s="57"/>
      <c r="L40" s="7"/>
      <c r="M40" s="7"/>
      <c r="N40" s="7"/>
      <c r="O40" s="5"/>
      <c r="P40" s="3"/>
      <c r="Q40" s="3"/>
    </row>
    <row r="41" spans="1:17" s="1" customFormat="1" ht="18.75" customHeight="1" x14ac:dyDescent="0.2">
      <c r="A41" s="3"/>
      <c r="B41" s="4"/>
      <c r="C41" s="7"/>
      <c r="D41" s="7"/>
      <c r="E41" s="7"/>
      <c r="F41" s="6"/>
      <c r="G41" s="6"/>
      <c r="H41" s="6"/>
      <c r="I41" s="16"/>
      <c r="J41" s="56"/>
      <c r="K41" s="57"/>
      <c r="L41" s="7"/>
      <c r="M41" s="7"/>
      <c r="N41" s="7"/>
      <c r="O41" s="5"/>
      <c r="P41" s="3"/>
      <c r="Q41" s="3"/>
    </row>
    <row r="42" spans="1:17" s="1" customFormat="1" ht="18.75" customHeight="1" x14ac:dyDescent="0.2">
      <c r="A42" s="3"/>
      <c r="B42" s="4"/>
      <c r="C42" s="7"/>
      <c r="D42" s="7"/>
      <c r="E42" s="7"/>
      <c r="F42" s="6"/>
      <c r="G42" s="6"/>
      <c r="H42" s="6"/>
      <c r="I42" s="6"/>
      <c r="J42" s="6"/>
      <c r="K42" s="6"/>
      <c r="L42" s="6"/>
      <c r="M42" s="6"/>
      <c r="N42" s="6"/>
      <c r="O42" s="5"/>
      <c r="P42" s="3"/>
      <c r="Q42" s="3"/>
    </row>
    <row r="43" spans="1:17" ht="5.25" customHeight="1" thickBot="1" x14ac:dyDescent="0.25">
      <c r="A43" s="3"/>
      <c r="B43" s="17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9"/>
      <c r="P43" s="2"/>
      <c r="Q43" s="2"/>
    </row>
    <row r="44" spans="1:17" ht="15" customHeight="1" x14ac:dyDescent="0.2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2"/>
      <c r="Q44" s="2"/>
    </row>
    <row r="45" spans="1:17" ht="15" hidden="1" customHeight="1" x14ac:dyDescent="0.2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2"/>
      <c r="Q45" s="2"/>
    </row>
    <row r="46" spans="1:17" ht="15" hidden="1" customHeight="1" x14ac:dyDescent="0.2">
      <c r="Q46" s="2"/>
    </row>
    <row r="47" spans="1:17" ht="15" hidden="1" customHeight="1" x14ac:dyDescent="0.2">
      <c r="Q47" s="2"/>
    </row>
    <row r="48" spans="1:17" ht="15" hidden="1" customHeight="1" x14ac:dyDescent="0.2">
      <c r="Q48" s="2"/>
    </row>
    <row r="49" ht="15" customHeight="1" x14ac:dyDescent="0.2"/>
  </sheetData>
  <mergeCells count="16">
    <mergeCell ref="C3:N3"/>
    <mergeCell ref="E5:K5"/>
    <mergeCell ref="C11:H11"/>
    <mergeCell ref="I7:J7"/>
    <mergeCell ref="D31:H31"/>
    <mergeCell ref="D32:H32"/>
    <mergeCell ref="D30:H30"/>
    <mergeCell ref="E9:F9"/>
    <mergeCell ref="J41:K41"/>
    <mergeCell ref="I9:K9"/>
    <mergeCell ref="J35:K35"/>
    <mergeCell ref="J36:K36"/>
    <mergeCell ref="J37:K37"/>
    <mergeCell ref="J38:K38"/>
    <mergeCell ref="J39:K39"/>
    <mergeCell ref="J40:K40"/>
  </mergeCells>
  <conditionalFormatting sqref="K26:K32 K12:K18">
    <cfRule type="cellIs" dxfId="14" priority="13" operator="equal">
      <formula>"Complete"</formula>
    </cfRule>
  </conditionalFormatting>
  <conditionalFormatting sqref="K22:K30">
    <cfRule type="cellIs" dxfId="13" priority="11" operator="equal">
      <formula>"Complete"</formula>
    </cfRule>
  </conditionalFormatting>
  <conditionalFormatting sqref="M12:M32">
    <cfRule type="cellIs" dxfId="12" priority="7" operator="equal">
      <formula>"Fail"</formula>
    </cfRule>
    <cfRule type="cellIs" dxfId="11" priority="8" operator="equal">
      <formula>"Pass"</formula>
    </cfRule>
  </conditionalFormatting>
  <conditionalFormatting sqref="K13:K21">
    <cfRule type="cellIs" dxfId="10" priority="1" operator="equal">
      <formula>"Complete"</formula>
    </cfRule>
  </conditionalFormatting>
  <dataValidations count="4">
    <dataValidation type="list" allowBlank="1" showInputMessage="1" showErrorMessage="1" sqref="E7" xr:uid="{1710A5B8-C7A0-4DF8-A7A9-2029B8F7FE91}">
      <formula1>tower</formula1>
    </dataValidation>
    <dataValidation type="list" allowBlank="1" showInputMessage="1" showErrorMessage="1" sqref="I12:I32" xr:uid="{4E3322DD-FAEF-4172-9197-28C56C026C94}">
      <formula1>points</formula1>
    </dataValidation>
    <dataValidation type="list" allowBlank="1" showInputMessage="1" showErrorMessage="1" sqref="K12:K32" xr:uid="{0429325B-5239-4CE2-8473-5632F8467418}">
      <formula1>"Not started, In progress, Deferred, Complete"</formula1>
    </dataValidation>
    <dataValidation type="list" allowBlank="1" showInputMessage="1" showErrorMessage="1" sqref="M12:M32" xr:uid="{FA4A67BE-23C2-4F5D-A0EC-C39E60F13EE4}">
      <formula1>"Pass,Fail"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C23267-B059-494D-8B4F-0129E69186B8}">
  <sheetPr codeName="Sheet3"/>
  <dimension ref="A1:H5"/>
  <sheetViews>
    <sheetView workbookViewId="0">
      <selection activeCell="O26" sqref="O26"/>
    </sheetView>
  </sheetViews>
  <sheetFormatPr defaultRowHeight="12.75" x14ac:dyDescent="0.2"/>
  <cols>
    <col min="1" max="1" width="12.85546875" bestFit="1" customWidth="1"/>
    <col min="2" max="2" width="20.42578125" bestFit="1" customWidth="1"/>
    <col min="3" max="3" width="10.85546875" bestFit="1" customWidth="1"/>
    <col min="4" max="4" width="13.85546875" bestFit="1" customWidth="1"/>
    <col min="5" max="5" width="9.85546875" bestFit="1" customWidth="1"/>
    <col min="6" max="6" width="9.28515625" bestFit="1" customWidth="1"/>
    <col min="7" max="8" width="7.140625" bestFit="1" customWidth="1"/>
    <col min="10" max="10" width="6.5703125" customWidth="1"/>
  </cols>
  <sheetData>
    <row r="1" spans="1:8" x14ac:dyDescent="0.2">
      <c r="A1" s="24" t="s">
        <v>25</v>
      </c>
      <c r="B1" s="24" t="s">
        <v>26</v>
      </c>
      <c r="C1" s="24" t="s">
        <v>27</v>
      </c>
      <c r="D1" s="24" t="s">
        <v>28</v>
      </c>
      <c r="E1" s="24" t="s">
        <v>29</v>
      </c>
      <c r="F1" s="24" t="s">
        <v>30</v>
      </c>
      <c r="G1" s="24" t="s">
        <v>31</v>
      </c>
      <c r="H1" s="24" t="s">
        <v>32</v>
      </c>
    </row>
    <row r="2" spans="1:8" x14ac:dyDescent="0.2">
      <c r="A2" s="24" t="s">
        <v>33</v>
      </c>
      <c r="B2" s="24" t="s">
        <v>34</v>
      </c>
      <c r="C2" s="24" t="s">
        <v>35</v>
      </c>
      <c r="D2" s="24"/>
      <c r="E2" s="24" t="s">
        <v>34</v>
      </c>
      <c r="F2" s="24" t="s">
        <v>36</v>
      </c>
      <c r="G2" s="24" t="s">
        <v>37</v>
      </c>
      <c r="H2" s="24"/>
    </row>
    <row r="3" spans="1:8" x14ac:dyDescent="0.2">
      <c r="A3" s="24" t="s">
        <v>35</v>
      </c>
      <c r="B3" s="24" t="s">
        <v>38</v>
      </c>
      <c r="C3" s="24" t="s">
        <v>39</v>
      </c>
      <c r="D3" s="24" t="s">
        <v>40</v>
      </c>
      <c r="E3" s="24" t="s">
        <v>41</v>
      </c>
      <c r="F3" s="24" t="s">
        <v>42</v>
      </c>
      <c r="G3" s="24" t="s">
        <v>37</v>
      </c>
      <c r="H3" s="24"/>
    </row>
    <row r="4" spans="1:8" x14ac:dyDescent="0.2">
      <c r="A4" s="24" t="s">
        <v>43</v>
      </c>
      <c r="B4" s="24" t="s">
        <v>44</v>
      </c>
      <c r="C4" s="24"/>
      <c r="D4" s="24"/>
      <c r="E4" s="24" t="s">
        <v>44</v>
      </c>
      <c r="F4" s="24" t="s">
        <v>42</v>
      </c>
      <c r="G4" s="24" t="s">
        <v>45</v>
      </c>
      <c r="H4" s="24"/>
    </row>
    <row r="5" spans="1:8" x14ac:dyDescent="0.2">
      <c r="A5" s="24" t="s">
        <v>46</v>
      </c>
      <c r="B5" s="24" t="s">
        <v>47</v>
      </c>
      <c r="C5" s="24"/>
      <c r="D5" s="24"/>
      <c r="E5" s="24" t="s">
        <v>48</v>
      </c>
      <c r="F5" s="24" t="s">
        <v>49</v>
      </c>
      <c r="G5" s="24" t="s">
        <v>45</v>
      </c>
      <c r="H5" s="24"/>
    </row>
  </sheetData>
  <dataValidations count="9">
    <dataValidation type="list" allowBlank="1" showInputMessage="1" sqref="E2:E5" xr:uid="{98676580-4379-4099-AC31-4A2439774B9D}">
      <formula1>"Process, Decision, Subprocess, Start, End, Document, Data, Database, External Data, On-page reference, Off-page reference, Custom 1, Custom 2, Custom 3, Custom 4"</formula1>
    </dataValidation>
    <dataValidation allowBlank="1" showInputMessage="1" showErrorMessage="1" promptTitle="Process Step ID" prompt="Enter a unique process step ID for each shape in the diagram." sqref="A1" xr:uid="{58ECED57-1934-402D-B90F-AB84CAFB85B0}"/>
    <dataValidation allowBlank="1" showInputMessage="1" showErrorMessage="1" promptTitle="Process Step Description" prompt="Enter text for the process step that will appear in the shape." sqref="B1" xr:uid="{5E983237-BAF8-4879-912D-BB4DC25D634B}"/>
    <dataValidation allowBlank="1" showInputMessage="1" showErrorMessage="1" promptTitle="Next Step ID" prompt="Enter the process step ID for the next step. Use commas to separate multiple next steps, such as &quot;P600,P700&quot;." sqref="C1" xr:uid="{06AD43F3-6BC1-4CC4-876E-BEDAAF51AACF}"/>
    <dataValidation allowBlank="1" showInputMessage="1" showErrorMessage="1" promptTitle="Connector Label" prompt="If desired, label the connector to the next step. Use commas to separate multiple next steps, such as &quot;Yes,No&quot;." sqref="D1" xr:uid="{70D3142A-F7F8-4EA7-888B-99E476C3EC03}"/>
    <dataValidation allowBlank="1" showInputMessage="1" showErrorMessage="1" promptTitle="Shape Type" prompt="Enter the type of shape you'd like each process step to use." sqref="E1" xr:uid="{F90CB904-C27A-4138-85F0-EE09726CE9CB}"/>
    <dataValidation allowBlank="1" showInputMessage="1" showErrorMessage="1" promptTitle="Function" prompt="Enter the name of the function that the process step applies to. This creates swimlanes." sqref="F1" xr:uid="{ED505F94-D397-42E3-9F61-3E7B0F848B20}"/>
    <dataValidation allowBlank="1" showInputMessage="1" showErrorMessage="1" promptTitle="Phase" prompt="Enter the name of the phase that the process step applies to." sqref="G1" xr:uid="{3FAC0671-FA63-46CE-B97A-9BEC93F04435}"/>
    <dataValidation allowBlank="1" showInputMessage="1" showErrorMessage="1" promptTitle="Alt Text" prompt="Alt Text helps people with visual impairments understand your diagram. Describe each process step." sqref="H1" xr:uid="{FBE02A0C-DFA3-421F-9D72-107EA3D399B5}"/>
  </dataValidations>
  <pageMargins left="0.7" right="0.7" top="0.75" bottom="0.75" header="0.3" footer="0.3"/>
  <pageSetup orientation="portrait" horizontalDpi="200" verticalDpi="20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28E77-69AE-4D43-BB11-A0C6C4ADD572}">
  <sheetPr codeName="Sheet2"/>
  <dimension ref="A1:D19"/>
  <sheetViews>
    <sheetView workbookViewId="0">
      <selection activeCell="E18" sqref="E18"/>
    </sheetView>
  </sheetViews>
  <sheetFormatPr defaultRowHeight="12.75" x14ac:dyDescent="0.2"/>
  <cols>
    <col min="1" max="1" width="20.85546875" bestFit="1" customWidth="1"/>
    <col min="2" max="2" width="13.5703125" customWidth="1"/>
    <col min="3" max="3" width="16.7109375" bestFit="1" customWidth="1"/>
    <col min="4" max="4" width="16.85546875" bestFit="1" customWidth="1"/>
    <col min="5" max="5" width="20.85546875" bestFit="1" customWidth="1"/>
  </cols>
  <sheetData>
    <row r="1" spans="1:4" x14ac:dyDescent="0.2">
      <c r="A1" s="15" t="s">
        <v>9</v>
      </c>
      <c r="B1" s="15" t="s">
        <v>10</v>
      </c>
    </row>
    <row r="2" spans="1:4" x14ac:dyDescent="0.2">
      <c r="A2" s="20">
        <v>1</v>
      </c>
      <c r="B2" s="20">
        <v>3</v>
      </c>
    </row>
    <row r="3" spans="1:4" x14ac:dyDescent="0.2">
      <c r="A3" s="20">
        <v>3</v>
      </c>
      <c r="B3" s="20">
        <v>6</v>
      </c>
    </row>
    <row r="4" spans="1:4" x14ac:dyDescent="0.2">
      <c r="A4" s="20">
        <v>5</v>
      </c>
      <c r="B4" s="20">
        <v>9</v>
      </c>
    </row>
    <row r="5" spans="1:4" x14ac:dyDescent="0.2">
      <c r="A5" s="20">
        <v>8</v>
      </c>
      <c r="B5" s="20">
        <v>15</v>
      </c>
    </row>
    <row r="6" spans="1:4" x14ac:dyDescent="0.2">
      <c r="A6" s="20">
        <v>13</v>
      </c>
      <c r="B6" s="20">
        <v>24</v>
      </c>
    </row>
    <row r="10" spans="1:4" x14ac:dyDescent="0.2">
      <c r="A10" t="s">
        <v>3</v>
      </c>
      <c r="B10" t="s">
        <v>50</v>
      </c>
      <c r="C10" t="s">
        <v>51</v>
      </c>
      <c r="D10" t="s">
        <v>52</v>
      </c>
    </row>
    <row r="11" spans="1:4" x14ac:dyDescent="0.2">
      <c r="A11" t="s">
        <v>53</v>
      </c>
      <c r="B11" t="s">
        <v>54</v>
      </c>
      <c r="C11" t="s">
        <v>55</v>
      </c>
      <c r="D11" t="s">
        <v>56</v>
      </c>
    </row>
    <row r="12" spans="1:4" x14ac:dyDescent="0.2">
      <c r="A12" t="s">
        <v>5</v>
      </c>
      <c r="B12" t="s">
        <v>57</v>
      </c>
      <c r="C12" t="s">
        <v>58</v>
      </c>
      <c r="D12" t="s">
        <v>59</v>
      </c>
    </row>
    <row r="13" spans="1:4" x14ac:dyDescent="0.2">
      <c r="A13" t="s">
        <v>60</v>
      </c>
      <c r="B13" t="s">
        <v>61</v>
      </c>
      <c r="C13" t="s">
        <v>62</v>
      </c>
      <c r="D13" t="s">
        <v>63</v>
      </c>
    </row>
    <row r="14" spans="1:4" x14ac:dyDescent="0.2">
      <c r="A14" t="s">
        <v>64</v>
      </c>
      <c r="B14" t="s">
        <v>65</v>
      </c>
      <c r="C14" t="s">
        <v>66</v>
      </c>
      <c r="D14" t="s">
        <v>67</v>
      </c>
    </row>
    <row r="15" spans="1:4" x14ac:dyDescent="0.2">
      <c r="B15" t="s">
        <v>68</v>
      </c>
      <c r="C15" t="s">
        <v>69</v>
      </c>
      <c r="D15" t="s">
        <v>70</v>
      </c>
    </row>
    <row r="16" spans="1:4" x14ac:dyDescent="0.2">
      <c r="B16" t="s">
        <v>71</v>
      </c>
      <c r="C16" t="s">
        <v>72</v>
      </c>
      <c r="D16" t="s">
        <v>73</v>
      </c>
    </row>
    <row r="17" spans="3:3" x14ac:dyDescent="0.2">
      <c r="C17" t="s">
        <v>74</v>
      </c>
    </row>
    <row r="18" spans="3:3" x14ac:dyDescent="0.2">
      <c r="C18" t="s">
        <v>75</v>
      </c>
    </row>
    <row r="19" spans="3:3" x14ac:dyDescent="0.2">
      <c r="C19" t="s">
        <v>76</v>
      </c>
    </row>
  </sheetData>
  <pageMargins left="0.7" right="0.7" top="0.75" bottom="0.75" header="0.3" footer="0.3"/>
  <pageSetup orientation="portrait" horizontalDpi="200" verticalDpi="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2EF0BBA82F5B44B93F1BB285C1605FB" ma:contentTypeVersion="11" ma:contentTypeDescription="Create a new document." ma:contentTypeScope="" ma:versionID="9818c41cfd3bb974d9a7e247103d1686">
  <xsd:schema xmlns:xsd="http://www.w3.org/2001/XMLSchema" xmlns:xs="http://www.w3.org/2001/XMLSchema" xmlns:p="http://schemas.microsoft.com/office/2006/metadata/properties" xmlns:ns2="bd1b6d70-300f-43dd-a110-f87c13b240db" xmlns:ns3="0e9c0d1a-6b3c-477c-a612-d0602edc05b4" targetNamespace="http://schemas.microsoft.com/office/2006/metadata/properties" ma:root="true" ma:fieldsID="438afae436006c917f19da59b889a0f6" ns2:_="" ns3:_="">
    <xsd:import namespace="bd1b6d70-300f-43dd-a110-f87c13b240db"/>
    <xsd:import namespace="0e9c0d1a-6b3c-477c-a612-d0602edc05b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d1b6d70-300f-43dd-a110-f87c13b240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e9c0d1a-6b3c-477c-a612-d0602edc05b4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70DEFB7-0620-46BA-9869-B1A9A9BF1C9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d1b6d70-300f-43dd-a110-f87c13b240db"/>
    <ds:schemaRef ds:uri="0e9c0d1a-6b3c-477c-a612-d0602edc05b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2AD484D-6376-4F4C-B34C-3141F011162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4F85144-9023-49DA-9CF3-B612B5F3044D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User Stories</vt:lpstr>
      <vt:lpstr>To-be process map</vt:lpstr>
      <vt:lpstr>Reference</vt:lpstr>
      <vt:lpstr>frequency</vt:lpstr>
      <vt:lpstr>points</vt:lpstr>
      <vt:lpstr>svc_acct</vt:lpstr>
      <vt:lpstr>tower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Apostol, Rico A. (ELS-MNL)</dc:creator>
  <cp:keywords/>
  <dc:description/>
  <cp:lastModifiedBy>RPA ELS FAH5</cp:lastModifiedBy>
  <cp:revision/>
  <dcterms:created xsi:type="dcterms:W3CDTF">2020-09-14T11:47:36Z</dcterms:created>
  <dcterms:modified xsi:type="dcterms:W3CDTF">2022-12-14T10:49:23Z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  <property fmtid="{D5CDD505-2E9C-101B-9397-08002B2CF9AE}" pid="4" name="ContentTypeId">
    <vt:lpwstr>0x01010062EF0BBA82F5B44B93F1BB285C1605FB</vt:lpwstr>
  </property>
  <property fmtid="{D5CDD505-2E9C-101B-9397-08002B2CF9AE}" pid="5" name="MSIP_Label_549ac42a-3eb4-4074-b885-aea26bd6241e_Enabled">
    <vt:lpwstr>true</vt:lpwstr>
  </property>
  <property fmtid="{D5CDD505-2E9C-101B-9397-08002B2CF9AE}" pid="6" name="MSIP_Label_549ac42a-3eb4-4074-b885-aea26bd6241e_SetDate">
    <vt:lpwstr>2021-07-06T08:19:38Z</vt:lpwstr>
  </property>
  <property fmtid="{D5CDD505-2E9C-101B-9397-08002B2CF9AE}" pid="7" name="MSIP_Label_549ac42a-3eb4-4074-b885-aea26bd6241e_Method">
    <vt:lpwstr>Standard</vt:lpwstr>
  </property>
  <property fmtid="{D5CDD505-2E9C-101B-9397-08002B2CF9AE}" pid="8" name="MSIP_Label_549ac42a-3eb4-4074-b885-aea26bd6241e_Name">
    <vt:lpwstr>General Business</vt:lpwstr>
  </property>
  <property fmtid="{D5CDD505-2E9C-101B-9397-08002B2CF9AE}" pid="9" name="MSIP_Label_549ac42a-3eb4-4074-b885-aea26bd6241e_SiteId">
    <vt:lpwstr>9274ee3f-9425-4109-a27f-9fb15c10675d</vt:lpwstr>
  </property>
  <property fmtid="{D5CDD505-2E9C-101B-9397-08002B2CF9AE}" pid="10" name="MSIP_Label_549ac42a-3eb4-4074-b885-aea26bd6241e_ActionId">
    <vt:lpwstr>84be788f-489d-4197-b91c-ffad6f27194f</vt:lpwstr>
  </property>
  <property fmtid="{D5CDD505-2E9C-101B-9397-08002B2CF9AE}" pid="11" name="MSIP_Label_549ac42a-3eb4-4074-b885-aea26bd6241e_ContentBits">
    <vt:lpwstr>0</vt:lpwstr>
  </property>
</Properties>
</file>